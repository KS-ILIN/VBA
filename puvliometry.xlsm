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\Desktop\"/>
    </mc:Choice>
  </mc:AlternateContent>
  <xr:revisionPtr revIDLastSave="0" documentId="13_ncr:1_{117CF6A3-0375-4652-9409-B820FDDED5D6}" xr6:coauthVersionLast="45" xr6:coauthVersionMax="45" xr10:uidLastSave="{00000000-0000-0000-0000-000000000000}"/>
  <bookViews>
    <workbookView xWindow="-108" yWindow="-108" windowWidth="23256" windowHeight="12720" tabRatio="797" xr2:uid="{00000000-000D-0000-FFFF-FFFF00000000}"/>
  </bookViews>
  <sheets>
    <sheet name="Météo" sheetId="458" r:id="rId1"/>
  </sheets>
  <definedNames>
    <definedName name="camp" localSheetId="0">Météo!#REF!</definedName>
    <definedName name="camp">#REF!</definedName>
    <definedName name="gite">#REF!</definedName>
    <definedName name="_xlnm.Print_Area" localSheetId="0">Météo!$A$1:$N$15</definedName>
    <definedName name="Q1742h1875" localSheetId="0">#REF!</definedName>
    <definedName name="Q1742h1875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458" l="1"/>
  <c r="O12" i="458"/>
  <c r="O11" i="458"/>
  <c r="O10" i="458"/>
  <c r="O9" i="458"/>
  <c r="O8" i="458"/>
  <c r="O7" i="458"/>
  <c r="O6" i="458"/>
  <c r="O5" i="458"/>
  <c r="C14" i="458" l="1"/>
  <c r="C15" i="458"/>
  <c r="N13" i="458" l="1"/>
  <c r="N12" i="458"/>
  <c r="N11" i="458"/>
  <c r="N10" i="458"/>
  <c r="N9" i="458"/>
  <c r="N8" i="458"/>
  <c r="N7" i="458"/>
  <c r="N6" i="458"/>
  <c r="N5" i="458"/>
  <c r="N15" i="458" l="1"/>
  <c r="N14" i="458"/>
  <c r="O14" i="458"/>
  <c r="O15" i="458"/>
  <c r="I15" i="458" l="1"/>
  <c r="I14" i="458"/>
  <c r="H14" i="458"/>
  <c r="H15" i="458"/>
  <c r="D14" i="458"/>
  <c r="E14" i="458"/>
  <c r="F14" i="458"/>
  <c r="G14" i="458"/>
  <c r="J14" i="458"/>
  <c r="K14" i="458"/>
  <c r="L14" i="458"/>
  <c r="M14" i="458"/>
  <c r="D15" i="458"/>
  <c r="E15" i="458"/>
  <c r="F15" i="458"/>
  <c r="G15" i="458"/>
  <c r="J15" i="458"/>
  <c r="K15" i="458"/>
  <c r="L15" i="458"/>
  <c r="M15" i="458"/>
  <c r="B15" i="458"/>
  <c r="B14" i="45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V:\EXCEL\EXVECE2\AVION\Helios_Khi2\Data\BD\Calculs récurrents.mdb" keepAlive="1" name="Calculs récurrents" type="5" refreshedVersion="3">
    <dbPr connection="Provider=Microsoft.ACE.OLEDB.12.0;User ID=Admin;Data Source=V:\EXCEL\EXVECE2\AVION\Helios_Khi2\Data\BD\Calculs récurrents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Courts" commandType="3"/>
  </connection>
</connections>
</file>

<file path=xl/sharedStrings.xml><?xml version="1.0" encoding="utf-8"?>
<sst xmlns="http://schemas.openxmlformats.org/spreadsheetml/2006/main" count="18" uniqueCount="14">
  <si>
    <t>J</t>
  </si>
  <si>
    <t>F</t>
  </si>
  <si>
    <t>M</t>
  </si>
  <si>
    <t>A</t>
  </si>
  <si>
    <t>S</t>
  </si>
  <si>
    <t>O</t>
  </si>
  <si>
    <t>N</t>
  </si>
  <si>
    <t>D</t>
  </si>
  <si>
    <t>Ev. 18/19</t>
  </si>
  <si>
    <t>Ev. 19/20</t>
  </si>
  <si>
    <t>METEO MENSUELLE</t>
  </si>
  <si>
    <t>PLUVIOMETRIE en mm</t>
  </si>
  <si>
    <t>ANNEE</t>
  </si>
  <si>
    <t>Somme calculée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</si>
</sst>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7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10"/>
      <name val="Arial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9" fontId="3" fillId="0" borderId="0" applyFont="0" applyFill="0" applyBorder="0" applyAlignment="0" applyProtection="0"/>
  </cellStyleXfs>
  <cellXfs count="35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 applyFill="1" applyAlignment="1">
      <alignment vertical="center" wrapText="1"/>
    </xf>
    <xf numFmtId="2" fontId="4" fillId="0" borderId="0" xfId="0" applyNumberFormat="1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left"/>
    </xf>
    <xf numFmtId="49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64" fontId="4" fillId="0" borderId="0" xfId="0" applyNumberFormat="1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0" borderId="0" xfId="0" applyFont="1"/>
    <xf numFmtId="49" fontId="6" fillId="0" borderId="0" xfId="0" applyNumberFormat="1" applyFont="1" applyFill="1" applyAlignment="1">
      <alignment horizontal="center"/>
    </xf>
    <xf numFmtId="164" fontId="6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5" fontId="6" fillId="0" borderId="0" xfId="0" applyNumberFormat="1" applyFont="1" applyFill="1" applyAlignment="1">
      <alignment horizontal="center"/>
    </xf>
    <xf numFmtId="2" fontId="6" fillId="0" borderId="0" xfId="0" applyNumberFormat="1" applyFont="1" applyFill="1" applyAlignment="1">
      <alignment horizontal="center"/>
    </xf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Fill="1"/>
    <xf numFmtId="49" fontId="5" fillId="2" borderId="0" xfId="0" applyNumberFormat="1" applyFont="1" applyFill="1" applyAlignment="1">
      <alignment horizontal="center"/>
    </xf>
    <xf numFmtId="49" fontId="5" fillId="2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49" fontId="5" fillId="2" borderId="0" xfId="0" applyNumberFormat="1" applyFont="1" applyFill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64" fontId="4" fillId="3" borderId="2" xfId="0" applyNumberFormat="1" applyFont="1" applyFill="1" applyBorder="1" applyAlignment="1">
      <alignment horizontal="center"/>
    </xf>
    <xf numFmtId="9" fontId="6" fillId="0" borderId="1" xfId="3" applyFont="1" applyBorder="1" applyAlignment="1">
      <alignment horizontal="center"/>
    </xf>
    <xf numFmtId="9" fontId="6" fillId="0" borderId="0" xfId="3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0" fontId="5" fillId="2" borderId="0" xfId="0" applyNumberFormat="1" applyFont="1" applyFill="1" applyAlignment="1">
      <alignment horizontal="center"/>
    </xf>
    <xf numFmtId="0" fontId="6" fillId="0" borderId="0" xfId="0" applyFont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152400</xdr:rowOff>
        </xdr:from>
        <xdr:to>
          <xdr:col>7</xdr:col>
          <xdr:colOff>487680</xdr:colOff>
          <xdr:row>20</xdr:row>
          <xdr:rowOff>99060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8">
    <pageSetUpPr fitToPage="1"/>
  </sheetPr>
  <dimension ref="A1:AD24"/>
  <sheetViews>
    <sheetView tabSelected="1" zoomScaleNormal="100" workbookViewId="0">
      <selection activeCell="O5" sqref="O5"/>
    </sheetView>
  </sheetViews>
  <sheetFormatPr defaultColWidth="11.44140625" defaultRowHeight="13.8" x14ac:dyDescent="0.3"/>
  <cols>
    <col min="1" max="1" width="10.88671875" style="6" customWidth="1"/>
    <col min="2" max="2" width="10.88671875" style="1" customWidth="1"/>
    <col min="3" max="4" width="9.6640625" style="1" customWidth="1"/>
    <col min="5" max="6" width="11.44140625" style="1" customWidth="1"/>
    <col min="7" max="7" width="10.44140625" style="15" customWidth="1"/>
    <col min="8" max="8" width="9.109375" style="1" customWidth="1"/>
    <col min="9" max="9" width="8.88671875" style="1" customWidth="1"/>
    <col min="10" max="10" width="9.44140625" style="1" customWidth="1"/>
    <col min="11" max="11" width="9.109375" style="1" customWidth="1"/>
    <col min="12" max="12" width="9.5546875" style="1" customWidth="1"/>
    <col min="13" max="13" width="9.33203125" style="15" customWidth="1"/>
    <col min="14" max="14" width="13.109375" style="1" bestFit="1" customWidth="1"/>
    <col min="15" max="15" width="14.88671875" style="7" bestFit="1" customWidth="1"/>
    <col min="16" max="16" width="17.88671875" style="4" bestFit="1" customWidth="1"/>
    <col min="17" max="17" width="8.6640625" style="4" customWidth="1"/>
    <col min="18" max="18" width="18" style="4" bestFit="1" customWidth="1"/>
    <col min="19" max="19" width="8.6640625" style="4" customWidth="1"/>
    <col min="20" max="20" width="10.109375" style="4" customWidth="1"/>
    <col min="21" max="25" width="8.6640625" style="4" customWidth="1"/>
    <col min="26" max="29" width="11.44140625" style="4"/>
    <col min="30" max="30" width="12.44140625" style="4" bestFit="1" customWidth="1"/>
    <col min="31" max="16384" width="11.44140625" style="4"/>
  </cols>
  <sheetData>
    <row r="1" spans="1:16" ht="31.5" customHeight="1" x14ac:dyDescent="0.3">
      <c r="A1" s="2"/>
      <c r="B1" s="34" t="s">
        <v>10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O1" s="3"/>
    </row>
    <row r="2" spans="1:16" s="12" customFormat="1" x14ac:dyDescent="0.3">
      <c r="A2" s="13"/>
      <c r="B2" s="11"/>
      <c r="C2" s="11"/>
      <c r="D2" s="11"/>
      <c r="E2" s="11"/>
      <c r="F2" s="11"/>
      <c r="G2" s="14"/>
      <c r="H2" s="11"/>
      <c r="I2" s="11"/>
      <c r="J2" s="11"/>
      <c r="K2" s="11"/>
      <c r="L2" s="11"/>
      <c r="M2" s="14"/>
      <c r="N2" s="10"/>
      <c r="O2" s="8"/>
    </row>
    <row r="3" spans="1:16" s="18" customFormat="1" x14ac:dyDescent="0.3">
      <c r="A3" s="5" t="s">
        <v>11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9"/>
      <c r="O3" s="17"/>
    </row>
    <row r="4" spans="1:16" s="7" customFormat="1" x14ac:dyDescent="0.3">
      <c r="A4" s="21"/>
      <c r="B4" s="23" t="s">
        <v>0</v>
      </c>
      <c r="C4" s="23" t="s">
        <v>1</v>
      </c>
      <c r="D4" s="23" t="s">
        <v>2</v>
      </c>
      <c r="E4" s="23" t="s">
        <v>3</v>
      </c>
      <c r="F4" s="23" t="s">
        <v>2</v>
      </c>
      <c r="G4" s="23" t="s">
        <v>0</v>
      </c>
      <c r="H4" s="23" t="s">
        <v>0</v>
      </c>
      <c r="I4" s="23" t="s">
        <v>3</v>
      </c>
      <c r="J4" s="23" t="s">
        <v>4</v>
      </c>
      <c r="K4" s="23" t="s">
        <v>5</v>
      </c>
      <c r="L4" s="23" t="s">
        <v>6</v>
      </c>
      <c r="M4" s="23" t="s">
        <v>7</v>
      </c>
      <c r="N4" s="23" t="s">
        <v>12</v>
      </c>
      <c r="O4" s="28" t="s">
        <v>13</v>
      </c>
    </row>
    <row r="5" spans="1:16" x14ac:dyDescent="0.3">
      <c r="A5" s="33">
        <v>2012</v>
      </c>
      <c r="B5" s="19">
        <v>26.646875000000001</v>
      </c>
      <c r="C5" s="19">
        <v>41.046875</v>
      </c>
      <c r="D5" s="19">
        <v>111.62187499999999</v>
      </c>
      <c r="E5" s="19">
        <v>81.6875</v>
      </c>
      <c r="F5" s="19">
        <v>31.674999999999997</v>
      </c>
      <c r="G5" s="19">
        <v>20.356250000000003</v>
      </c>
      <c r="H5" s="19">
        <v>6.8750000000000006E-2</v>
      </c>
      <c r="I5" s="19">
        <v>4.546875</v>
      </c>
      <c r="J5" s="19">
        <v>39.121874999999996</v>
      </c>
      <c r="K5" s="19">
        <v>64.824999999999989</v>
      </c>
      <c r="L5" s="19">
        <v>71.071875000000006</v>
      </c>
      <c r="M5" s="19">
        <v>105.921875</v>
      </c>
      <c r="N5" s="32">
        <f t="shared" ref="N5:N13" si="0">SUM(B5:M5)</f>
        <v>598.59062499999993</v>
      </c>
      <c r="O5" s="29">
        <f>SUM(B5:B5)</f>
        <v>26.646875000000001</v>
      </c>
    </row>
    <row r="6" spans="1:16" x14ac:dyDescent="0.3">
      <c r="A6" s="33">
        <v>2013</v>
      </c>
      <c r="B6" s="19">
        <v>25.206250000000004</v>
      </c>
      <c r="C6" s="19">
        <v>41.106250000000003</v>
      </c>
      <c r="D6" s="19">
        <v>108.25624999999999</v>
      </c>
      <c r="E6" s="19">
        <v>80.125</v>
      </c>
      <c r="F6" s="19">
        <v>30.549999999999997</v>
      </c>
      <c r="G6" s="19">
        <v>18.787500000000001</v>
      </c>
      <c r="H6" s="19">
        <v>6.25E-2</v>
      </c>
      <c r="I6" s="19">
        <v>4.2062499999999998</v>
      </c>
      <c r="J6" s="19">
        <v>40.456249999999997</v>
      </c>
      <c r="K6" s="19">
        <v>58.949999999999989</v>
      </c>
      <c r="L6" s="19">
        <v>67.556250000000006</v>
      </c>
      <c r="M6" s="19">
        <v>108.55625000000001</v>
      </c>
      <c r="N6" s="32">
        <f t="shared" si="0"/>
        <v>583.81875000000002</v>
      </c>
      <c r="O6" s="29">
        <f>SUM(B6:B6)</f>
        <v>25.206250000000004</v>
      </c>
      <c r="P6" s="20"/>
    </row>
    <row r="7" spans="1:16" x14ac:dyDescent="0.3">
      <c r="A7" s="33">
        <v>2014</v>
      </c>
      <c r="B7" s="19">
        <v>28.087500000000002</v>
      </c>
      <c r="C7" s="19">
        <v>40.987499999999997</v>
      </c>
      <c r="D7" s="19">
        <v>114.98749999999998</v>
      </c>
      <c r="E7" s="19">
        <v>83.25</v>
      </c>
      <c r="F7" s="19">
        <v>32.799999999999997</v>
      </c>
      <c r="G7" s="19">
        <v>21.925000000000001</v>
      </c>
      <c r="H7" s="19">
        <v>7.5000000000000011E-2</v>
      </c>
      <c r="I7" s="19">
        <v>4.8875000000000002</v>
      </c>
      <c r="J7" s="19">
        <v>37.787499999999994</v>
      </c>
      <c r="K7" s="19">
        <v>70.699999999999989</v>
      </c>
      <c r="L7" s="19">
        <v>74.587500000000006</v>
      </c>
      <c r="M7" s="19">
        <v>103.28749999999999</v>
      </c>
      <c r="N7" s="32">
        <f t="shared" si="0"/>
        <v>613.36250000000007</v>
      </c>
      <c r="O7" s="29">
        <f>SUM(B7:B7)</f>
        <v>28.087500000000002</v>
      </c>
      <c r="P7" s="20"/>
    </row>
    <row r="8" spans="1:16" x14ac:dyDescent="0.3">
      <c r="A8" s="33">
        <v>2015</v>
      </c>
      <c r="B8" s="19">
        <v>22.325000000000003</v>
      </c>
      <c r="C8" s="19">
        <v>41.225000000000001</v>
      </c>
      <c r="D8" s="19">
        <v>101.52499999999999</v>
      </c>
      <c r="E8" s="19">
        <v>77</v>
      </c>
      <c r="F8" s="19">
        <v>28.299999999999997</v>
      </c>
      <c r="G8" s="19">
        <v>15.65</v>
      </c>
      <c r="H8" s="19">
        <v>0.05</v>
      </c>
      <c r="I8" s="19">
        <v>3.5249999999999999</v>
      </c>
      <c r="J8" s="19">
        <v>43.125</v>
      </c>
      <c r="K8" s="19">
        <v>47.199999999999996</v>
      </c>
      <c r="L8" s="19">
        <v>60.525000000000006</v>
      </c>
      <c r="M8" s="19">
        <v>113.825</v>
      </c>
      <c r="N8" s="32">
        <f t="shared" si="0"/>
        <v>554.27499999999998</v>
      </c>
      <c r="O8" s="29">
        <f>SUM(B8:B8)</f>
        <v>22.325000000000003</v>
      </c>
      <c r="P8" s="20"/>
    </row>
    <row r="9" spans="1:16" x14ac:dyDescent="0.3">
      <c r="A9" s="33">
        <v>2016</v>
      </c>
      <c r="B9" s="19">
        <v>33.85</v>
      </c>
      <c r="C9" s="19">
        <v>40.75</v>
      </c>
      <c r="D9" s="19">
        <v>128.44999999999999</v>
      </c>
      <c r="E9" s="19">
        <v>89.5</v>
      </c>
      <c r="F9" s="19">
        <v>37.299999999999997</v>
      </c>
      <c r="G9" s="19">
        <v>28.2</v>
      </c>
      <c r="H9" s="19">
        <v>0.1</v>
      </c>
      <c r="I9" s="19">
        <v>6.25</v>
      </c>
      <c r="J9" s="19">
        <v>32.449999999999996</v>
      </c>
      <c r="K9" s="19">
        <v>94.199999999999989</v>
      </c>
      <c r="L9" s="19">
        <v>88.65</v>
      </c>
      <c r="M9" s="19">
        <v>92.75</v>
      </c>
      <c r="N9" s="32">
        <f t="shared" si="0"/>
        <v>672.44999999999993</v>
      </c>
      <c r="O9" s="29">
        <f>SUM(B9:B9)</f>
        <v>33.85</v>
      </c>
      <c r="P9" s="20"/>
    </row>
    <row r="10" spans="1:16" x14ac:dyDescent="0.3">
      <c r="A10" s="33">
        <v>2017</v>
      </c>
      <c r="B10" s="19">
        <v>10.8</v>
      </c>
      <c r="C10" s="19">
        <v>41.7</v>
      </c>
      <c r="D10" s="19">
        <v>74.599999999999994</v>
      </c>
      <c r="E10" s="19">
        <v>64.5</v>
      </c>
      <c r="F10" s="19">
        <v>19.3</v>
      </c>
      <c r="G10" s="19">
        <v>3.1</v>
      </c>
      <c r="H10" s="19">
        <v>0</v>
      </c>
      <c r="I10" s="19">
        <v>0.8</v>
      </c>
      <c r="J10" s="19">
        <v>53.8</v>
      </c>
      <c r="K10" s="19">
        <v>0.2</v>
      </c>
      <c r="L10" s="19">
        <v>32.4</v>
      </c>
      <c r="M10" s="19">
        <v>134.9</v>
      </c>
      <c r="N10" s="32">
        <f t="shared" si="0"/>
        <v>436.1</v>
      </c>
      <c r="O10" s="29">
        <f>SUM(B10:B10)</f>
        <v>10.8</v>
      </c>
      <c r="P10" s="20"/>
    </row>
    <row r="11" spans="1:16" x14ac:dyDescent="0.3">
      <c r="A11" s="33">
        <v>2018</v>
      </c>
      <c r="B11" s="19">
        <v>56.9</v>
      </c>
      <c r="C11" s="19">
        <v>39.799999999999997</v>
      </c>
      <c r="D11" s="19">
        <v>182.3</v>
      </c>
      <c r="E11" s="19">
        <v>114.5</v>
      </c>
      <c r="F11" s="19">
        <v>55.3</v>
      </c>
      <c r="G11" s="19">
        <v>53.3</v>
      </c>
      <c r="H11" s="19">
        <v>0.2</v>
      </c>
      <c r="I11" s="19">
        <v>11.7</v>
      </c>
      <c r="J11" s="19">
        <v>11.1</v>
      </c>
      <c r="K11" s="19">
        <v>188.2</v>
      </c>
      <c r="L11" s="19">
        <v>144.9</v>
      </c>
      <c r="M11" s="19">
        <v>50.6</v>
      </c>
      <c r="N11" s="32">
        <f t="shared" si="0"/>
        <v>908.8</v>
      </c>
      <c r="O11" s="29">
        <f>SUM(B11:B11)</f>
        <v>56.9</v>
      </c>
      <c r="P11" s="10"/>
    </row>
    <row r="12" spans="1:16" x14ac:dyDescent="0.3">
      <c r="A12" s="33">
        <v>2019</v>
      </c>
      <c r="B12" s="19">
        <v>17.100000000000001</v>
      </c>
      <c r="C12" s="19">
        <v>76.900000000000006</v>
      </c>
      <c r="D12" s="19">
        <v>1</v>
      </c>
      <c r="E12" s="19">
        <v>130.4</v>
      </c>
      <c r="F12" s="19">
        <v>16.8</v>
      </c>
      <c r="G12" s="19">
        <v>1.6</v>
      </c>
      <c r="H12" s="19">
        <v>40.299999999999997</v>
      </c>
      <c r="I12" s="19">
        <v>2</v>
      </c>
      <c r="J12" s="19">
        <v>58.4</v>
      </c>
      <c r="K12" s="19">
        <v>110.7</v>
      </c>
      <c r="L12" s="19">
        <v>213.5</v>
      </c>
      <c r="M12" s="19">
        <v>148.4</v>
      </c>
      <c r="N12" s="32">
        <f t="shared" si="0"/>
        <v>817.1</v>
      </c>
      <c r="O12" s="29">
        <f>SUM(B12:B12)</f>
        <v>17.100000000000001</v>
      </c>
      <c r="P12" s="10"/>
    </row>
    <row r="13" spans="1:16" x14ac:dyDescent="0.3">
      <c r="A13" s="33">
        <v>2020</v>
      </c>
      <c r="B13" s="19">
        <v>21.6</v>
      </c>
      <c r="C13" s="19">
        <v>1</v>
      </c>
      <c r="D13" s="19">
        <v>72.599999999999994</v>
      </c>
      <c r="E13" s="19">
        <v>79.5</v>
      </c>
      <c r="F13" s="19">
        <v>77.900000000000006</v>
      </c>
      <c r="G13" s="19">
        <v>86.4</v>
      </c>
      <c r="H13" s="19">
        <v>2.6</v>
      </c>
      <c r="I13" s="19">
        <v>6</v>
      </c>
      <c r="J13" s="19">
        <v>78.900000000000006</v>
      </c>
      <c r="K13" s="19">
        <v>100.2</v>
      </c>
      <c r="L13" s="19">
        <v>2.4</v>
      </c>
      <c r="M13" s="19"/>
      <c r="N13" s="32">
        <f t="shared" si="0"/>
        <v>529.1</v>
      </c>
      <c r="O13" s="29">
        <f>SUM(B13:B13)</f>
        <v>21.6</v>
      </c>
      <c r="P13" s="10"/>
    </row>
    <row r="14" spans="1:16" s="12" customFormat="1" x14ac:dyDescent="0.3">
      <c r="A14" s="22" t="s">
        <v>8</v>
      </c>
      <c r="B14" s="30">
        <f t="shared" ref="B14:O14" si="1">(B12-B11)/B11</f>
        <v>-0.69947275922671348</v>
      </c>
      <c r="C14" s="30">
        <f t="shared" si="1"/>
        <v>0.93216080402010082</v>
      </c>
      <c r="D14" s="30">
        <f t="shared" si="1"/>
        <v>-0.99451453647833243</v>
      </c>
      <c r="E14" s="30">
        <f t="shared" si="1"/>
        <v>0.13886462882096076</v>
      </c>
      <c r="F14" s="30">
        <f t="shared" si="1"/>
        <v>-0.69620253164556967</v>
      </c>
      <c r="G14" s="30">
        <f t="shared" si="1"/>
        <v>-0.96998123827392113</v>
      </c>
      <c r="H14" s="30">
        <f t="shared" si="1"/>
        <v>200.49999999999997</v>
      </c>
      <c r="I14" s="30">
        <f t="shared" si="1"/>
        <v>-0.829059829059829</v>
      </c>
      <c r="J14" s="30">
        <f t="shared" si="1"/>
        <v>4.2612612612612608</v>
      </c>
      <c r="K14" s="30">
        <f t="shared" si="1"/>
        <v>-0.41179596174282673</v>
      </c>
      <c r="L14" s="30">
        <f t="shared" si="1"/>
        <v>0.47342995169082119</v>
      </c>
      <c r="M14" s="30">
        <f t="shared" si="1"/>
        <v>1.9328063241106721</v>
      </c>
      <c r="N14" s="30">
        <f t="shared" si="1"/>
        <v>-0.10090228873239429</v>
      </c>
      <c r="O14" s="30">
        <f t="shared" si="1"/>
        <v>-0.69947275922671348</v>
      </c>
    </row>
    <row r="15" spans="1:16" s="12" customFormat="1" x14ac:dyDescent="0.3">
      <c r="A15" s="24" t="s">
        <v>9</v>
      </c>
      <c r="B15" s="31">
        <f>(B13-B12)/B12</f>
        <v>0.26315789473684209</v>
      </c>
      <c r="C15" s="31">
        <f t="shared" ref="C15:M15" si="2">(C13-C12)/C12</f>
        <v>-0.98699609882964889</v>
      </c>
      <c r="D15" s="31">
        <f t="shared" si="2"/>
        <v>71.599999999999994</v>
      </c>
      <c r="E15" s="31">
        <f t="shared" si="2"/>
        <v>-0.39033742331288346</v>
      </c>
      <c r="F15" s="31">
        <f t="shared" si="2"/>
        <v>3.6369047619047623</v>
      </c>
      <c r="G15" s="31">
        <f t="shared" si="2"/>
        <v>53.000000000000007</v>
      </c>
      <c r="H15" s="31">
        <f>(H13-H12)/H12</f>
        <v>-0.93548387096774188</v>
      </c>
      <c r="I15" s="31">
        <f>(I13-I12)/I12</f>
        <v>2</v>
      </c>
      <c r="J15" s="31">
        <f t="shared" si="2"/>
        <v>0.3510273972602741</v>
      </c>
      <c r="K15" s="31">
        <f t="shared" si="2"/>
        <v>-9.4850948509485097E-2</v>
      </c>
      <c r="L15" s="31">
        <f t="shared" si="2"/>
        <v>-0.98875878220140512</v>
      </c>
      <c r="M15" s="31">
        <f t="shared" si="2"/>
        <v>-1</v>
      </c>
      <c r="N15" s="31">
        <f>(N13-N12)/N12</f>
        <v>-0.35246603842858892</v>
      </c>
      <c r="O15" s="31">
        <f>(O13-O12)/O12</f>
        <v>0.26315789473684209</v>
      </c>
    </row>
    <row r="16" spans="1:16" s="12" customFormat="1" x14ac:dyDescent="0.3">
      <c r="A16" s="27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</row>
    <row r="18" spans="1:30" x14ac:dyDescent="0.3">
      <c r="A18" s="4"/>
    </row>
    <row r="19" spans="1:30" x14ac:dyDescent="0.3">
      <c r="A19" s="1"/>
    </row>
    <row r="22" spans="1:30" s="6" customFormat="1" x14ac:dyDescent="0.3">
      <c r="A22" s="5"/>
      <c r="B22" s="1"/>
      <c r="C22" s="1"/>
      <c r="D22" s="1"/>
      <c r="E22" s="1"/>
      <c r="F22" s="1"/>
      <c r="G22" s="15"/>
      <c r="H22" s="1"/>
      <c r="I22" s="1"/>
      <c r="J22" s="1"/>
      <c r="K22" s="1"/>
      <c r="L22" s="1"/>
      <c r="M22" s="15"/>
      <c r="N22" s="1"/>
      <c r="O22" s="7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s="6" customFormat="1" x14ac:dyDescent="0.3">
      <c r="A23" s="5"/>
      <c r="B23" s="1"/>
      <c r="C23" s="1"/>
      <c r="D23" s="1"/>
      <c r="E23" s="1"/>
      <c r="F23" s="1"/>
      <c r="G23" s="15"/>
      <c r="H23" s="1"/>
      <c r="I23" s="1"/>
      <c r="J23" s="1"/>
      <c r="K23" s="1"/>
      <c r="L23" s="1"/>
      <c r="M23" s="15"/>
      <c r="N23" s="1"/>
      <c r="O23" s="7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s="6" customFormat="1" x14ac:dyDescent="0.3">
      <c r="A24" s="5"/>
      <c r="B24" s="1"/>
      <c r="C24" s="1"/>
      <c r="D24" s="1"/>
      <c r="E24" s="1"/>
      <c r="F24" s="1"/>
      <c r="G24" s="15"/>
      <c r="H24" s="1"/>
      <c r="I24" s="1"/>
      <c r="J24" s="1"/>
      <c r="K24" s="1"/>
      <c r="L24" s="1"/>
      <c r="M24" s="15"/>
      <c r="N24" s="1"/>
      <c r="O24" s="7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</sheetData>
  <mergeCells count="1">
    <mergeCell ref="B1:M1"/>
  </mergeCells>
  <pageMargins left="0" right="0" top="0" bottom="0" header="0" footer="0"/>
  <pageSetup paperSize="9" scale="84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3</xdr:col>
                <xdr:colOff>220980</xdr:colOff>
                <xdr:row>17</xdr:row>
                <xdr:rowOff>152400</xdr:rowOff>
              </from>
              <to>
                <xdr:col>7</xdr:col>
                <xdr:colOff>403860</xdr:colOff>
                <xdr:row>20</xdr:row>
                <xdr:rowOff>53340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Météo</vt:lpstr>
      <vt:lpstr>Météo!Print_Area</vt:lpstr>
    </vt:vector>
  </TitlesOfParts>
  <Company>CRT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lefebvre</dc:creator>
  <cp:lastModifiedBy>s</cp:lastModifiedBy>
  <cp:lastPrinted>2014-09-15T15:30:54Z</cp:lastPrinted>
  <dcterms:created xsi:type="dcterms:W3CDTF">2002-02-13T11:27:44Z</dcterms:created>
  <dcterms:modified xsi:type="dcterms:W3CDTF">2020-12-17T16:31:59Z</dcterms:modified>
</cp:coreProperties>
</file>